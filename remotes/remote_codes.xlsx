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הוראות" sheetId="1" state="visible" r:id="rId3"/>
    <sheet name="מאוורר 433" sheetId="2" state="visible" r:id="rId4"/>
    <sheet name="אור וממסר 433" sheetId="3" state="visible" r:id="rId5"/>
    <sheet name="אינפרא אדום" sheetId="4" state="visible" r:id="rId6"/>
    <sheet name="מלאי שלטים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<sst xmlns="http://schemas.openxmlformats.org/spreadsheetml/2006/main" count="159" uniqueCount="117">
  <si>
    <t xml:space="preserve">Bg_Bed — טבלת קודי שלטים</t>
  </si>
  <si>
    <t xml:space="preserve">גרסה 1 · 24 באוגוסט 2026 · למלא תוך כדי לכידה, לא מהזיכרון</t>
  </si>
  <si>
    <t xml:space="preserve">מה למלא</t>
  </si>
  <si>
    <t xml:space="preserve">תאים בצהוב</t>
  </si>
  <si>
    <t xml:space="preserve">אלה התאים שאתה ממלא. כל השאר כותרות והסברים.</t>
  </si>
  <si>
    <t xml:space="preserve">שורת דוגמה</t>
  </si>
  <si>
    <t xml:space="preserve">בכל גיליון יש שורה אחת אפורה ונטויה — היא דוגמה לפורמט בלבד. למחוק אותה כשמתחילים.</t>
  </si>
  <si>
    <t xml:space="preserve">אושר על חומרה</t>
  </si>
  <si>
    <t xml:space="preserve">כן רק אחרי ששידרת את הקוד והמכשיר הגיב. לא לפני.</t>
  </si>
  <si>
    <t xml:space="preserve">איך לוכדים קוד 433 / 315 מגה־הרץ</t>
  </si>
  <si>
    <t xml:space="preserve">1. מקלט</t>
  </si>
  <si>
    <t xml:space="preserve">מקלט סופר־הטרודין. מקלט על־התחדשות (super-regenerative, הזול) יאבד קודים ויתן זבל.</t>
  </si>
  <si>
    <t xml:space="preserve">2. תדר</t>
  </si>
  <si>
    <t xml:space="preserve">המאוורר Westinghouse SQ19D-F20 — עדיין לא ידוע אם 433 או 315. צריך מקלט בתדר הנכון. אם אין קליטה בכלל ב-433, זה כמעט בוודאות 315.</t>
  </si>
  <si>
    <t xml:space="preserve">3. תוכנה</t>
  </si>
  <si>
    <t xml:space="preserve">ספריית RCSwitch, דוגמת ReceiveDemo_Advanced. מדפיסה Decimal, Bit length, Protocol, Pulse length.</t>
  </si>
  <si>
    <t xml:space="preserve">4. חזרות</t>
  </si>
  <si>
    <t xml:space="preserve">ללחוץ על כל כפתור 5 עד 10 פעמים. אם המספר משתנה בין לחיצות — זה קוד מתגלגל (rolling code) ולא ניתן לשכפול פשוט. לרשום זאת בהערות.</t>
  </si>
  <si>
    <t xml:space="preserve">5. מנתח לוגיקה</t>
  </si>
  <si>
    <t xml:space="preserve">אם RCSwitch לא מפענח, ללכוד את פין ה-DATA של המקלט ב-PulseView ולמדוד ידנית את רוחב הפולסים.</t>
  </si>
  <si>
    <t xml:space="preserve">לפני חיבור למתח הרשת</t>
  </si>
  <si>
    <t xml:space="preserve">מנתח לוגיקה קודם</t>
  </si>
  <si>
    <t xml:space="preserve">ללכוד את פין ה-DATA של ה-FS1000A ולוודא שהצורה נכונה — לפני שמודול ממסר כלשהו מחובר ל-230 וולט.</t>
  </si>
  <si>
    <t xml:space="preserve">FS1000A</t>
  </si>
  <si>
    <t xml:space="preserve">פין DATA מקבל 3.3V מה-GPIO. VCC חייב 5V. אנטנה: חוט נחושת מלא ישר באורך 17.3 סנטימטר.</t>
  </si>
  <si>
    <t xml:space="preserve">איך לוכדים קוד אינפרא אדום</t>
  </si>
  <si>
    <t xml:space="preserve">מקלט</t>
  </si>
  <si>
    <t xml:space="preserve">TSOP1838 או VS1838B. פלט לפין GPIO.</t>
  </si>
  <si>
    <t xml:space="preserve">תוכנה</t>
  </si>
  <si>
    <t xml:space="preserve">ספריית IRremoteESP8266, דוגמת IRrecvDumpV2. מדפיסה פרוטוקול, כתובת, פקודה, וגם raw.</t>
  </si>
  <si>
    <t xml:space="preserve">מזגן</t>
  </si>
  <si>
    <t xml:space="preserve">שלטי מזגן שולחים את כל המצב בכל לחיצה, לא פקודה בודדת. לרשום את ה-raw המלא לכל שילוב, לא רק את הכפתור.</t>
  </si>
  <si>
    <t xml:space="preserve">מאוורר Westinghouse SQ19D-F20</t>
  </si>
  <si>
    <t xml:space="preserve">רדיו. התדר טרם ידוע — 433 או 315. דורש מקלט סופר־הטרודין. פקודות בקו: 18 FAN_POWER · 19 FAN_SPEED · 20 FAN_TIMER · 21 FAN_LIGHT</t>
  </si>
  <si>
    <t xml:space="preserve">#</t>
  </si>
  <si>
    <t xml:space="preserve">כפתור בשלט</t>
  </si>
  <si>
    <t xml:space="preserve">תדר</t>
  </si>
  <si>
    <t xml:space="preserve">קוד עשרוני</t>
  </si>
  <si>
    <t xml:space="preserve">אורך בסיביות</t>
  </si>
  <si>
    <t xml:space="preserve">פרוטוקול RCSwitch</t>
  </si>
  <si>
    <t xml:space="preserve">אורך פולס (מיקרו־שניות)</t>
  </si>
  <si>
    <t xml:space="preserve">בינארי / tri-state</t>
  </si>
  <si>
    <t xml:space="preserve">חזרות לשידור</t>
  </si>
  <si>
    <t xml:space="preserve">תאריך</t>
  </si>
  <si>
    <t xml:space="preserve">הערות</t>
  </si>
  <si>
    <t xml:space="preserve">on off fan</t>
  </si>
  <si>
    <t xml:space="preserve">433</t>
  </si>
  <si>
    <t xml:space="preserve"> </t>
  </si>
  <si>
    <t xml:space="preserve">Speed 1</t>
  </si>
  <si>
    <t xml:space="preserve">Speed 2</t>
  </si>
  <si>
    <t xml:space="preserve">Speed 3</t>
  </si>
  <si>
    <t xml:space="preserve">Speed 4</t>
  </si>
  <si>
    <t xml:space="preserve">Speed 5</t>
  </si>
  <si>
    <t xml:space="preserve">Speed 6</t>
  </si>
  <si>
    <t xml:space="preserve">on off lamp</t>
  </si>
  <si>
    <t xml:space="preserve">timer 1h</t>
  </si>
  <si>
    <t xml:space="preserve">timer 2h</t>
  </si>
  <si>
    <t xml:space="preserve">timer 4h</t>
  </si>
  <si>
    <t xml:space="preserve">timer 8h</t>
  </si>
  <si>
    <t xml:space="preserve">reverse</t>
  </si>
  <si>
    <t xml:space="preserve">waves</t>
  </si>
  <si>
    <t xml:space="preserve">אור וממסר — JJX-K605-V4</t>
  </si>
  <si>
    <t xml:space="preserve">קידוד 1527. הקודים כאן נבחרים על ידך ונלמדים למודול בלחיצת כפתור הצימוד — הם לא משוכפלים משלט קיים. ממסר SONGLE SRD-12VDC-SL-A. שידור: FS1000A, tx.send(code, 24), פרוטוקול 1, עשר חזרות. פקודה בקו: 15 RF — יעד 0 תריס, 1 אור, 2 מאוורר</t>
  </si>
  <si>
    <t xml:space="preserve">דוגמה</t>
  </si>
  <si>
    <t xml:space="preserve">אור — הדלקה</t>
  </si>
  <si>
    <t xml:space="preserve">1234561</t>
  </si>
  <si>
    <t xml:space="preserve">24</t>
  </si>
  <si>
    <t xml:space="preserve">1</t>
  </si>
  <si>
    <t xml:space="preserve">350</t>
  </si>
  <si>
    <t xml:space="preserve">—</t>
  </si>
  <si>
    <t xml:space="preserve">10</t>
  </si>
  <si>
    <t xml:space="preserve">לא</t>
  </si>
  <si>
    <t xml:space="preserve">24/08/2026</t>
  </si>
  <si>
    <t xml:space="preserve">שורת דוגמה — למחוק. קוד נבחר, לא נלכד.</t>
  </si>
  <si>
    <t xml:space="preserve">שלטי אינפרא אדום</t>
  </si>
  <si>
    <t xml:space="preserve">נלכד עם IRrecvDumpV2 מספריית IRremoteESP8266. שלט מזגן שולח את כל המצב בכל לחיצה — לרשום שילוב מלא, לא כפתור בודד.</t>
  </si>
  <si>
    <t xml:space="preserve">מכשיר</t>
  </si>
  <si>
    <t xml:space="preserve">כפתור / מצב</t>
  </si>
  <si>
    <t xml:space="preserve">פרוטוקול</t>
  </si>
  <si>
    <t xml:space="preserve">כתובת</t>
  </si>
  <si>
    <t xml:space="preserve">פקודה</t>
  </si>
  <si>
    <t xml:space="preserve">אורך raw</t>
  </si>
  <si>
    <t xml:space="preserve">raw מלא (או שם קובץ)</t>
  </si>
  <si>
    <t xml:space="preserve">מזגן תדיראן</t>
  </si>
  <si>
    <t xml:space="preserve">קירור 24 מעלות, מאוורר בינוני</t>
  </si>
  <si>
    <t xml:space="preserve">TADIRAN?</t>
  </si>
  <si>
    <t xml:space="preserve">0x00</t>
  </si>
  <si>
    <t xml:space="preserve">199</t>
  </si>
  <si>
    <t xml:space="preserve">ir_tadiran_cool24.txt</t>
  </si>
  <si>
    <t xml:space="preserve">שורת דוגמה — למחוק. כרגע המזגן נשלט דרך Switcher Breeze ברשת, לא באינפרא.</t>
  </si>
  <si>
    <t xml:space="preserve">מלאי השלטים — מה שכבר נחקר</t>
  </si>
  <si>
    <t xml:space="preserve">העמודות כאן מלאות מהמסמך. לעדכן כשמשהו נסגר.</t>
  </si>
  <si>
    <t xml:space="preserve">דגם השלט</t>
  </si>
  <si>
    <t xml:space="preserve">טכנולוגיה</t>
  </si>
  <si>
    <t xml:space="preserve">מצב מחקר</t>
  </si>
  <si>
    <t xml:space="preserve">מה חסר כדי לסגור</t>
  </si>
  <si>
    <t xml:space="preserve">מאוורר</t>
  </si>
  <si>
    <t xml:space="preserve">Westinghouse SQ19D-F20</t>
  </si>
  <si>
    <t xml:space="preserve">רדיו — 433 או 315, לא ידוע</t>
  </si>
  <si>
    <t xml:space="preserve">פתוח</t>
  </si>
  <si>
    <t xml:space="preserve">מקלט סופר־הטרודין. לזהות תדר, ואז ללכוד את כל הכפתורים.</t>
  </si>
  <si>
    <t xml:space="preserve">מיטה</t>
  </si>
  <si>
    <t xml:space="preserve">TXG-9-3</t>
  </si>
  <si>
    <t xml:space="preserve">2.4 גיגה־הרץ, שבב AMICCOM A7105</t>
  </si>
  <si>
    <t xml:space="preserve">לא 433 — נשלל</t>
  </si>
  <si>
    <t xml:space="preserve">מודול A7105 הוזמן. פרוטוקול קנייני, לא RCSwitch.</t>
  </si>
  <si>
    <t xml:space="preserve">אור</t>
  </si>
  <si>
    <t xml:space="preserve">אין שלט מקורי</t>
  </si>
  <si>
    <t xml:space="preserve">433, קידוד 1527</t>
  </si>
  <si>
    <t xml:space="preserve">פתרון נבחר</t>
  </si>
  <si>
    <t xml:space="preserve">מודול JJX-K605-V4 + FS1000A. הקוד נבחר ונלמד, לא משוכפל.</t>
  </si>
  <si>
    <t xml:space="preserve">תריסים</t>
  </si>
  <si>
    <t xml:space="preserve">מקלט דו־ערוצי במצב נצירה ועצירה.</t>
  </si>
  <si>
    <t xml:space="preserve">תדיראן</t>
  </si>
  <si>
    <t xml:space="preserve">WiFi דרך Switcher Breeze</t>
  </si>
  <si>
    <t xml:space="preserve">עובד בפייתון</t>
  </si>
  <si>
    <t xml:space="preserve">לפורט את הפרוטוקול ל-C++. אינפרא אדום הוא חלופה, לא הדרך הנוכחית.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</si>
</sst>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4"/>
      <color rgb="FF1F3864"/>
      <name val="Arial"/>
      <family val="0"/>
      <charset val="1"/>
    </font>
    <font>
      <sz val="10"/>
      <color rgb="FF60606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7.15" hidden="false" customHeight="false" outlineLevel="0" collapsed="false">
      <c r="B1" s="1" t="s">
        <v>0</v>
      </c>
    </row>
    <row r="2" customFormat="false" ht="15" hidden="false" customHeight="false" outlineLevel="0" collapsed="false">
      <c r="C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9" customFormat="false" ht="15" hidden="false" customHeight="false" outlineLevel="0" collapsed="false">
      <c r="B9" s="3" t="s">
        <v>9</v>
      </c>
    </row>
    <row r="10" customFormat="false" ht="15" hidden="false" customHeight="false" outlineLevel="0" collapsed="false">
      <c r="B10" s="4" t="s">
        <v>10</v>
      </c>
      <c r="C10" s="5" t="s">
        <v>11</v>
      </c>
    </row>
    <row r="11" customFormat="false" ht="26.8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26.8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6" customFormat="false" ht="15" hidden="false" customHeight="false" outlineLevel="0" collapsed="false">
      <c r="B16" s="3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20" customFormat="false" ht="15" hidden="false" customHeight="false" outlineLevel="0" collapsed="false">
      <c r="B20" s="3" t="s">
        <v>25</v>
      </c>
    </row>
    <row r="21" customFormat="false" ht="15" hidden="false" customHeight="false" outlineLevel="0" collapsed="false">
      <c r="B21" s="4" t="s">
        <v>26</v>
      </c>
      <c r="C21" s="5" t="s">
        <v>27</v>
      </c>
    </row>
    <row r="22" customFormat="false" ht="15" hidden="false" customHeight="false" outlineLevel="0" collapsed="false">
      <c r="B22" s="4" t="s">
        <v>28</v>
      </c>
      <c r="C22" s="5" t="s">
        <v>29</v>
      </c>
    </row>
    <row r="23" customFormat="false" ht="26.85" hidden="false" customHeight="false" outlineLevel="0" collapsed="false">
      <c r="B23" s="4" t="s">
        <v>30</v>
      </c>
      <c r="C23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6" activeCellId="0" sqref="G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8.49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6" width="38.5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1.5" hidden="false" customHeight="tru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8" t="s">
        <v>41</v>
      </c>
      <c r="I4" s="7" t="s">
        <v>42</v>
      </c>
      <c r="J4" s="7" t="s">
        <v>7</v>
      </c>
      <c r="K4" s="7" t="s">
        <v>43</v>
      </c>
      <c r="L4" s="7" t="s">
        <v>44</v>
      </c>
    </row>
    <row r="5" customFormat="false" ht="15" hidden="false" customHeight="false" outlineLevel="0" collapsed="false">
      <c r="A5" s="9" t="n">
        <v>1</v>
      </c>
      <c r="B5" s="9" t="s">
        <v>45</v>
      </c>
      <c r="C5" s="10" t="s">
        <v>46</v>
      </c>
      <c r="D5" s="9" t="n">
        <v>128887697</v>
      </c>
      <c r="E5" s="9" t="n">
        <v>29</v>
      </c>
      <c r="F5" s="9" t="n">
        <v>2</v>
      </c>
      <c r="G5" s="9" t="n">
        <v>606</v>
      </c>
      <c r="H5" s="9" t="s">
        <v>47</v>
      </c>
      <c r="I5" s="9"/>
      <c r="J5" s="9"/>
      <c r="K5" s="9"/>
      <c r="L5" s="9"/>
    </row>
    <row r="6" customFormat="false" ht="15" hidden="false" customHeight="false" outlineLevel="0" collapsed="false">
      <c r="A6" s="9" t="n">
        <f aca="false">+1+A5</f>
        <v>2</v>
      </c>
      <c r="B6" s="9" t="s">
        <v>48</v>
      </c>
      <c r="C6" s="10" t="s">
        <v>46</v>
      </c>
      <c r="D6" s="9" t="n">
        <v>128887784</v>
      </c>
      <c r="E6" s="9" t="n">
        <v>29</v>
      </c>
      <c r="F6" s="9" t="n">
        <v>2</v>
      </c>
      <c r="G6" s="9" t="n">
        <v>678</v>
      </c>
      <c r="H6" s="11" t="s">
        <v>47</v>
      </c>
      <c r="I6" s="9"/>
      <c r="J6" s="9"/>
      <c r="K6" s="9"/>
      <c r="L6" s="9"/>
    </row>
    <row r="7" customFormat="false" ht="15" hidden="false" customHeight="false" outlineLevel="0" collapsed="false">
      <c r="A7" s="9" t="n">
        <f aca="false">+1+A6</f>
        <v>3</v>
      </c>
      <c r="B7" s="9" t="s">
        <v>49</v>
      </c>
      <c r="C7" s="10" t="s">
        <v>46</v>
      </c>
      <c r="D7" s="9" t="n">
        <v>128887752</v>
      </c>
      <c r="E7" s="9" t="n">
        <v>29</v>
      </c>
      <c r="F7" s="9" t="n">
        <v>2</v>
      </c>
      <c r="G7" s="9" t="n">
        <v>605</v>
      </c>
      <c r="H7" s="11"/>
      <c r="I7" s="9"/>
      <c r="J7" s="9"/>
      <c r="K7" s="9"/>
      <c r="L7" s="9"/>
    </row>
    <row r="8" customFormat="false" ht="15" hidden="false" customHeight="false" outlineLevel="0" collapsed="false">
      <c r="A8" s="9" t="n">
        <f aca="false">+1+A7</f>
        <v>4</v>
      </c>
      <c r="B8" s="9" t="s">
        <v>50</v>
      </c>
      <c r="C8" s="10" t="s">
        <v>46</v>
      </c>
      <c r="D8" s="9" t="n">
        <v>128887721</v>
      </c>
      <c r="E8" s="9" t="n">
        <v>29</v>
      </c>
      <c r="F8" s="9" t="n">
        <v>2</v>
      </c>
      <c r="G8" s="9" t="n">
        <v>678</v>
      </c>
      <c r="H8" s="11"/>
      <c r="I8" s="9"/>
      <c r="J8" s="9"/>
      <c r="K8" s="9"/>
      <c r="L8" s="9"/>
    </row>
    <row r="9" customFormat="false" ht="15" hidden="false" customHeight="false" outlineLevel="0" collapsed="false">
      <c r="A9" s="9" t="n">
        <f aca="false">+1+A8</f>
        <v>5</v>
      </c>
      <c r="B9" s="9" t="s">
        <v>51</v>
      </c>
      <c r="C9" s="10" t="s">
        <v>46</v>
      </c>
      <c r="D9" s="9" t="n">
        <v>128887689</v>
      </c>
      <c r="E9" s="9" t="n">
        <v>29</v>
      </c>
      <c r="F9" s="9" t="n">
        <v>2</v>
      </c>
      <c r="G9" s="9" t="n">
        <v>605</v>
      </c>
      <c r="H9" s="11"/>
      <c r="I9" s="9"/>
      <c r="J9" s="9"/>
      <c r="K9" s="9"/>
      <c r="L9" s="9"/>
    </row>
    <row r="10" customFormat="false" ht="15" hidden="false" customHeight="false" outlineLevel="0" collapsed="false">
      <c r="A10" s="9" t="n">
        <f aca="false">+1+A9</f>
        <v>6</v>
      </c>
      <c r="B10" s="9" t="s">
        <v>52</v>
      </c>
      <c r="C10" s="10" t="s">
        <v>46</v>
      </c>
      <c r="D10" s="9" t="n">
        <v>128887658</v>
      </c>
      <c r="E10" s="9" t="n">
        <v>29</v>
      </c>
      <c r="F10" s="9" t="n">
        <v>2</v>
      </c>
      <c r="G10" s="9" t="n">
        <v>677</v>
      </c>
      <c r="H10" s="11"/>
      <c r="I10" s="9"/>
      <c r="J10" s="9"/>
      <c r="K10" s="9"/>
      <c r="L10" s="9"/>
    </row>
    <row r="11" customFormat="false" ht="15" hidden="false" customHeight="false" outlineLevel="0" collapsed="false">
      <c r="A11" s="9" t="n">
        <f aca="false">+1+A10</f>
        <v>7</v>
      </c>
      <c r="B11" s="9" t="s">
        <v>53</v>
      </c>
      <c r="C11" s="10" t="s">
        <v>46</v>
      </c>
      <c r="D11" s="9" t="n">
        <v>128887626</v>
      </c>
      <c r="E11" s="9" t="n">
        <v>29</v>
      </c>
      <c r="F11" s="9" t="n">
        <v>2</v>
      </c>
      <c r="G11" s="9" t="n">
        <v>604</v>
      </c>
      <c r="H11" s="11"/>
      <c r="I11" s="9"/>
      <c r="J11" s="9"/>
      <c r="K11" s="9"/>
      <c r="L11" s="9"/>
    </row>
    <row r="12" customFormat="false" ht="15" hidden="false" customHeight="false" outlineLevel="0" collapsed="false">
      <c r="A12" s="9" t="n">
        <f aca="false">+1+A11</f>
        <v>8</v>
      </c>
      <c r="B12" s="9" t="s">
        <v>54</v>
      </c>
      <c r="C12" s="10" t="s">
        <v>46</v>
      </c>
      <c r="D12" s="9" t="n">
        <v>128887477</v>
      </c>
      <c r="E12" s="9" t="n">
        <v>29</v>
      </c>
      <c r="F12" s="9" t="n">
        <v>2</v>
      </c>
      <c r="G12" s="9" t="n">
        <v>676</v>
      </c>
      <c r="H12" s="11" t="s">
        <v>47</v>
      </c>
      <c r="I12" s="9"/>
      <c r="J12" s="9"/>
      <c r="K12" s="9"/>
      <c r="L12" s="9"/>
    </row>
    <row r="13" customFormat="false" ht="15" hidden="false" customHeight="false" outlineLevel="0" collapsed="false">
      <c r="A13" s="9" t="n">
        <f aca="false">+1+A12</f>
        <v>9</v>
      </c>
      <c r="B13" s="9" t="s">
        <v>55</v>
      </c>
      <c r="C13" s="10" t="s">
        <v>46</v>
      </c>
      <c r="D13" s="9" t="n">
        <v>128887445</v>
      </c>
      <c r="E13" s="9" t="n">
        <v>29</v>
      </c>
      <c r="F13" s="9" t="n">
        <v>2</v>
      </c>
      <c r="G13" s="9" t="n">
        <v>607</v>
      </c>
      <c r="H13" s="11"/>
      <c r="I13" s="9"/>
      <c r="J13" s="9"/>
      <c r="K13" s="9"/>
      <c r="L13" s="9"/>
    </row>
    <row r="14" customFormat="false" ht="15" hidden="false" customHeight="false" outlineLevel="0" collapsed="false">
      <c r="A14" s="9" t="n">
        <f aca="false">+1+A13</f>
        <v>10</v>
      </c>
      <c r="B14" s="9" t="s">
        <v>56</v>
      </c>
      <c r="C14" s="10" t="s">
        <v>46</v>
      </c>
      <c r="D14" s="9" t="n">
        <v>128887351</v>
      </c>
      <c r="E14" s="9" t="n">
        <v>29</v>
      </c>
      <c r="F14" s="9" t="n">
        <v>2</v>
      </c>
      <c r="G14" s="9" t="n">
        <v>678</v>
      </c>
      <c r="H14" s="11"/>
      <c r="I14" s="9"/>
      <c r="J14" s="9"/>
      <c r="K14" s="9"/>
      <c r="L14" s="9"/>
    </row>
    <row r="15" customFormat="false" ht="15" hidden="false" customHeight="false" outlineLevel="0" collapsed="false">
      <c r="A15" s="9" t="n">
        <f aca="false">+1+A14</f>
        <v>11</v>
      </c>
      <c r="B15" s="9" t="s">
        <v>57</v>
      </c>
      <c r="C15" s="10" t="s">
        <v>46</v>
      </c>
      <c r="D15" s="9" t="n">
        <v>128887414</v>
      </c>
      <c r="E15" s="9" t="n">
        <v>29</v>
      </c>
      <c r="F15" s="9" t="n">
        <v>2</v>
      </c>
      <c r="G15" s="9" t="n">
        <v>678</v>
      </c>
      <c r="H15" s="11"/>
      <c r="I15" s="9"/>
      <c r="J15" s="9"/>
      <c r="K15" s="9"/>
      <c r="L15" s="9"/>
    </row>
    <row r="16" customFormat="false" ht="15" hidden="false" customHeight="false" outlineLevel="0" collapsed="false">
      <c r="A16" s="9" t="n">
        <f aca="false">+1+A15</f>
        <v>12</v>
      </c>
      <c r="B16" s="9" t="s">
        <v>58</v>
      </c>
      <c r="C16" s="10" t="s">
        <v>46</v>
      </c>
      <c r="D16" s="9" t="n">
        <v>128887634</v>
      </c>
      <c r="E16" s="9" t="n">
        <v>29</v>
      </c>
      <c r="F16" s="9" t="n">
        <v>2</v>
      </c>
      <c r="G16" s="9" t="n">
        <v>606</v>
      </c>
      <c r="H16" s="11"/>
      <c r="I16" s="9"/>
      <c r="J16" s="9"/>
      <c r="K16" s="9"/>
      <c r="L16" s="9"/>
    </row>
    <row r="17" customFormat="false" ht="15" hidden="false" customHeight="false" outlineLevel="0" collapsed="false">
      <c r="A17" s="9" t="n">
        <f aca="false">+1+A16</f>
        <v>13</v>
      </c>
      <c r="B17" s="9" t="s">
        <v>59</v>
      </c>
      <c r="C17" s="10" t="s">
        <v>46</v>
      </c>
      <c r="D17" s="9" t="n">
        <v>128887595</v>
      </c>
      <c r="E17" s="9" t="n">
        <v>29</v>
      </c>
      <c r="F17" s="9" t="n">
        <v>2</v>
      </c>
      <c r="G17" s="9" t="n">
        <v>678</v>
      </c>
      <c r="H17" s="11"/>
      <c r="I17" s="9"/>
      <c r="J17" s="9"/>
      <c r="K17" s="9"/>
      <c r="L17" s="9"/>
    </row>
    <row r="18" customFormat="false" ht="15" hidden="false" customHeight="false" outlineLevel="0" collapsed="false">
      <c r="A18" s="9" t="n">
        <f aca="false">+1+A17</f>
        <v>14</v>
      </c>
      <c r="B18" s="9" t="s">
        <v>60</v>
      </c>
      <c r="C18" s="10" t="s">
        <v>46</v>
      </c>
      <c r="D18" s="9" t="n">
        <v>128887563</v>
      </c>
      <c r="E18" s="9" t="n">
        <v>29</v>
      </c>
      <c r="F18" s="9" t="n">
        <v>2</v>
      </c>
      <c r="G18" s="9" t="n">
        <v>599</v>
      </c>
      <c r="H18" s="11"/>
      <c r="I18" s="9"/>
      <c r="J18" s="9"/>
      <c r="K18" s="9"/>
      <c r="L18" s="9"/>
    </row>
    <row r="19" customFormat="false" ht="20.85" hidden="false" customHeight="true" outlineLevel="0" collapsed="false">
      <c r="A19" s="9"/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11"/>
      <c r="I20" s="9"/>
      <c r="J20" s="9"/>
      <c r="K20" s="9"/>
      <c r="L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11"/>
      <c r="I22" s="9"/>
      <c r="J22" s="9"/>
      <c r="K22" s="9"/>
      <c r="L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11"/>
      <c r="I24" s="9"/>
      <c r="J24" s="9"/>
      <c r="K24" s="9"/>
      <c r="L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11"/>
      <c r="I25" s="9"/>
      <c r="J25" s="9"/>
      <c r="K25" s="9"/>
      <c r="L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11"/>
      <c r="I26" s="9"/>
      <c r="J26" s="9"/>
      <c r="K26" s="9"/>
      <c r="L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11"/>
      <c r="I27" s="9"/>
      <c r="J27" s="9"/>
      <c r="K27" s="9"/>
      <c r="L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11"/>
      <c r="I28" s="9"/>
      <c r="J28" s="9"/>
      <c r="K28" s="9"/>
      <c r="L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11"/>
      <c r="I29" s="9"/>
      <c r="J29" s="9"/>
      <c r="K29" s="9"/>
      <c r="L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11"/>
      <c r="I30" s="9"/>
      <c r="J30" s="9"/>
      <c r="K30" s="9"/>
      <c r="L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11"/>
      <c r="I31" s="9"/>
      <c r="J31" s="9"/>
      <c r="K31" s="9"/>
      <c r="L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11"/>
      <c r="I32" s="9"/>
      <c r="J32" s="9"/>
      <c r="K32" s="9"/>
      <c r="L32" s="9"/>
    </row>
    <row r="1048576" customFormat="false" ht="12.8" hidden="false" customHeight="false" outlineLevel="0" collapsed="false"/>
  </sheetData>
  <dataValidations count="2">
    <dataValidation allowBlank="true" errorStyle="stop" operator="between" showDropDown="false" showErrorMessage="false" showInputMessage="false" sqref="C19:C32" type="list">
      <formula1>"433,315,לא ידוע"</formula1>
      <formula2>0</formula2>
    </dataValidation>
    <dataValidation allowBlank="true" errorStyle="stop" operator="between" showDropDown="false" showErrorMessage="false" showInputMessage="false" sqref="J5:J32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1.5" hidden="false" customHeight="tru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7</v>
      </c>
      <c r="K4" s="7" t="s">
        <v>43</v>
      </c>
      <c r="L4" s="7" t="s">
        <v>44</v>
      </c>
    </row>
    <row r="5" customFormat="false" ht="15" hidden="false" customHeight="false" outlineLevel="0" collapsed="false">
      <c r="A5" s="10" t="s">
        <v>63</v>
      </c>
      <c r="B5" s="10" t="s">
        <v>64</v>
      </c>
      <c r="C5" s="10" t="s">
        <v>46</v>
      </c>
      <c r="D5" s="10" t="s">
        <v>65</v>
      </c>
      <c r="E5" s="10" t="s">
        <v>66</v>
      </c>
      <c r="F5" s="10" t="s">
        <v>67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72</v>
      </c>
      <c r="L5" s="10" t="s">
        <v>73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</sheetData>
  <dataValidations count="2">
    <dataValidation allowBlank="true" errorStyle="stop" operator="between" showDropDown="false" showErrorMessage="false" showInputMessage="false" sqref="C6:C25" type="list">
      <formula1>"433,315,לא ידוע"</formula1>
      <formula2>0</formula2>
    </dataValidation>
    <dataValidation allowBlank="true" errorStyle="stop" operator="between" showDropDown="false" showErrorMessage="false" showInputMessage="false" sqref="J6:J25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1.5" hidden="false" customHeight="true" outlineLevel="0" collapsed="false">
      <c r="A4" s="7" t="s">
        <v>34</v>
      </c>
      <c r="B4" s="7" t="s">
        <v>76</v>
      </c>
      <c r="C4" s="7" t="s">
        <v>77</v>
      </c>
      <c r="D4" s="7" t="s">
        <v>78</v>
      </c>
      <c r="E4" s="7" t="s">
        <v>79</v>
      </c>
      <c r="F4" s="7" t="s">
        <v>80</v>
      </c>
      <c r="G4" s="7" t="s">
        <v>81</v>
      </c>
      <c r="H4" s="7" t="s">
        <v>82</v>
      </c>
      <c r="I4" s="7" t="s">
        <v>7</v>
      </c>
      <c r="J4" s="7" t="s">
        <v>43</v>
      </c>
      <c r="K4" s="7" t="s">
        <v>44</v>
      </c>
    </row>
    <row r="5" customFormat="false" ht="23.85" hidden="false" customHeight="false" outlineLevel="0" collapsed="false">
      <c r="A5" s="10" t="s">
        <v>63</v>
      </c>
      <c r="B5" s="10" t="s">
        <v>83</v>
      </c>
      <c r="C5" s="10" t="s">
        <v>84</v>
      </c>
      <c r="D5" s="10" t="s">
        <v>85</v>
      </c>
      <c r="E5" s="10" t="s">
        <v>86</v>
      </c>
      <c r="F5" s="10" t="s">
        <v>86</v>
      </c>
      <c r="G5" s="10" t="s">
        <v>87</v>
      </c>
      <c r="H5" s="10" t="s">
        <v>88</v>
      </c>
      <c r="I5" s="10" t="s">
        <v>71</v>
      </c>
      <c r="J5" s="10" t="s">
        <v>72</v>
      </c>
      <c r="K5" s="10" t="s">
        <v>89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</sheetData>
  <dataValidations count="1">
    <dataValidation allowBlank="true" errorStyle="stop" operator="between" showDropDown="false" showErrorMessage="false" showInputMessage="false" sqref="I6:I25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7" t="s">
        <v>76</v>
      </c>
      <c r="B4" s="7" t="s">
        <v>92</v>
      </c>
      <c r="C4" s="7" t="s">
        <v>93</v>
      </c>
      <c r="D4" s="7" t="s">
        <v>94</v>
      </c>
      <c r="E4" s="7" t="s">
        <v>95</v>
      </c>
    </row>
    <row r="5" customFormat="false" ht="33.75" hidden="false" customHeight="true" outlineLevel="0" collapsed="false">
      <c r="A5" s="12" t="s">
        <v>96</v>
      </c>
      <c r="B5" s="12" t="s">
        <v>97</v>
      </c>
      <c r="C5" s="12" t="s">
        <v>98</v>
      </c>
      <c r="D5" s="12" t="s">
        <v>99</v>
      </c>
      <c r="E5" s="13" t="s">
        <v>100</v>
      </c>
    </row>
    <row r="6" customFormat="false" ht="33.75" hidden="false" customHeight="true" outlineLevel="0" collapsed="false">
      <c r="A6" s="12" t="s">
        <v>101</v>
      </c>
      <c r="B6" s="12" t="s">
        <v>102</v>
      </c>
      <c r="C6" s="12" t="s">
        <v>103</v>
      </c>
      <c r="D6" s="12" t="s">
        <v>104</v>
      </c>
      <c r="E6" s="13" t="s">
        <v>105</v>
      </c>
    </row>
    <row r="7" customFormat="false" ht="33.75" hidden="false" customHeight="true" outlineLevel="0" collapsed="false">
      <c r="A7" s="12" t="s">
        <v>106</v>
      </c>
      <c r="B7" s="12" t="s">
        <v>107</v>
      </c>
      <c r="C7" s="12" t="s">
        <v>108</v>
      </c>
      <c r="D7" s="12" t="s">
        <v>109</v>
      </c>
      <c r="E7" s="13" t="s">
        <v>110</v>
      </c>
    </row>
    <row r="8" customFormat="false" ht="33.75" hidden="false" customHeight="true" outlineLevel="0" collapsed="false">
      <c r="A8" s="12" t="s">
        <v>111</v>
      </c>
      <c r="B8" s="12" t="s">
        <v>107</v>
      </c>
      <c r="C8" s="12" t="s">
        <v>108</v>
      </c>
      <c r="D8" s="12" t="s">
        <v>109</v>
      </c>
      <c r="E8" s="13" t="s">
        <v>112</v>
      </c>
    </row>
    <row r="9" customFormat="false" ht="33.75" hidden="false" customHeight="true" outlineLevel="0" collapsed="false">
      <c r="A9" s="12" t="s">
        <v>30</v>
      </c>
      <c r="B9" s="12" t="s">
        <v>113</v>
      </c>
      <c r="C9" s="12" t="s">
        <v>114</v>
      </c>
      <c r="D9" s="12" t="s">
        <v>115</v>
      </c>
      <c r="E9" s="1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2026-08-24T10:19:38Z</dcterms:created>
  <dc:creator>openpyxl</dc:creator>
  <dc:description/>
  <dc:language>he-IL</dc:language>
  <cp:lastModifiedBy/>
  <dcterms:modified xsi:type="dcterms:W3CDTF">2026-08-24T16:54:53Z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